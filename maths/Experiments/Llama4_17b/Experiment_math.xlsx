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smu\CacheSaver Project\llm_multiagent_debate_cachesaver\math\Experiments\Llama4_17b\"/>
    </mc:Choice>
  </mc:AlternateContent>
  <xr:revisionPtr revIDLastSave="0" documentId="13_ncr:1_{BAA96657-A5C2-4C8A-939D-CF04FC7CFB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<sst xmlns="http://schemas.openxmlformats.org/spreadsheetml/2006/main" count="32" uniqueCount="21">
  <si>
    <t>agents</t>
  </si>
  <si>
    <t>rounds</t>
  </si>
  <si>
    <t>problems</t>
  </si>
  <si>
    <t>use_cachesaver</t>
  </si>
  <si>
    <t>accuracy</t>
  </si>
  <si>
    <t>standard error</t>
  </si>
  <si>
    <t>confidence interval</t>
  </si>
  <si>
    <t>prompt_tokens</t>
  </si>
  <si>
    <t>completion_tokens</t>
  </si>
  <si>
    <t>total_tokens</t>
  </si>
  <si>
    <t>input_cost ($)</t>
  </si>
  <si>
    <t>output_cost ($)</t>
  </si>
  <si>
    <t>total_cost ($)</t>
  </si>
  <si>
    <t>api_calls</t>
  </si>
  <si>
    <t>runtime (s)</t>
  </si>
  <si>
    <t>(1.0, 1.0)</t>
  </si>
  <si>
    <t>Total:</t>
  </si>
  <si>
    <t>runtime (s) - math</t>
  </si>
  <si>
    <t>runtime (s) - gsm</t>
  </si>
  <si>
    <t>total_tokens - math</t>
  </si>
  <si>
    <t>total_tokens - gsm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</si>
</sst>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Runtime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Sheet1!$F$15</c:f>
              <c:strCache>
                <c:ptCount val="1"/>
                <c:pt idx="0">
                  <c:v>runtime (s) - math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Sheet1!$F$16:$F$23</c:f>
              <c:numCache>
                <c:formatCode>General</c:formatCode>
                <c:ptCount val="8"/>
                <c:pt idx="0">
                  <c:v>1.39</c:v>
                </c:pt>
                <c:pt idx="1">
                  <c:v>3.24</c:v>
                </c:pt>
                <c:pt idx="2">
                  <c:v>1.61</c:v>
                </c:pt>
                <c:pt idx="3">
                  <c:v>3.21</c:v>
                </c:pt>
                <c:pt idx="4">
                  <c:v>1.45</c:v>
                </c:pt>
                <c:pt idx="5">
                  <c:v>2.25</c:v>
                </c:pt>
                <c:pt idx="6">
                  <c:v>1.93</c:v>
                </c:pt>
                <c:pt idx="7">
                  <c:v>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4C-455C-A5CC-DB3E2D45A2D4}"/>
            </c:ext>
          </c:extLst>
        </c:ser>
        <c:ser>
          <c:idx val="2"/>
          <c:order val="2"/>
          <c:tx>
            <c:strRef>
              <c:f>Sheet1!$G$15</c:f>
              <c:strCache>
                <c:ptCount val="1"/>
                <c:pt idx="0">
                  <c:v>runtime (s) - gsm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Sheet1!$G$16:$G$23</c:f>
              <c:numCache>
                <c:formatCode>General</c:formatCode>
                <c:ptCount val="8"/>
                <c:pt idx="0">
                  <c:v>1.02</c:v>
                </c:pt>
                <c:pt idx="1">
                  <c:v>2.38</c:v>
                </c:pt>
                <c:pt idx="2">
                  <c:v>1.69</c:v>
                </c:pt>
                <c:pt idx="3">
                  <c:v>3.08</c:v>
                </c:pt>
                <c:pt idx="4">
                  <c:v>0.8</c:v>
                </c:pt>
                <c:pt idx="5">
                  <c:v>1.46</c:v>
                </c:pt>
                <c:pt idx="6">
                  <c:v>1.74</c:v>
                </c:pt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4C-455C-A5CC-DB3E2D45A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207407"/>
        <c:axId val="20372069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Sheet1!$E$15</c15:sqref>
                        </c15:formulaRef>
                      </c:ext>
                    </c:extLst>
                    <c:strCache>
                      <c:ptCount val="1"/>
                      <c:pt idx="0">
                        <c:v>agents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Sheet1!$E$16:$E$23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D4C-455C-A5CC-DB3E2D45A2D4}"/>
                  </c:ext>
                </c:extLst>
              </c15:ser>
            </c15:filteredLineSeries>
          </c:ext>
        </c:extLst>
      </c:lineChart>
      <c:catAx>
        <c:axId val="203720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Iterations (combinations)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37206927"/>
        <c:crosses val="autoZero"/>
        <c:auto val="1"/>
        <c:lblAlgn val="ctr"/>
        <c:lblOffset val="100"/>
        <c:noMultiLvlLbl val="0"/>
      </c:catAx>
      <c:valAx>
        <c:axId val="203720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Runtime</a:t>
                </a:r>
                <a:r>
                  <a:rPr lang="da-DK" baseline="0"/>
                  <a:t> in seconds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3720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Tokens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Sheet1!$B$15</c:f>
              <c:strCache>
                <c:ptCount val="1"/>
                <c:pt idx="0">
                  <c:v>total_tokens - math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Sheet1!$B$16:$B$23</c:f>
              <c:numCache>
                <c:formatCode>General</c:formatCode>
                <c:ptCount val="8"/>
                <c:pt idx="0">
                  <c:v>272</c:v>
                </c:pt>
                <c:pt idx="1">
                  <c:v>530</c:v>
                </c:pt>
                <c:pt idx="2">
                  <c:v>824</c:v>
                </c:pt>
                <c:pt idx="3">
                  <c:v>1732</c:v>
                </c:pt>
                <c:pt idx="4">
                  <c:v>499</c:v>
                </c:pt>
                <c:pt idx="5">
                  <c:v>995</c:v>
                </c:pt>
                <c:pt idx="6">
                  <c:v>1973</c:v>
                </c:pt>
                <c:pt idx="7">
                  <c:v>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21-46FC-BABC-6EB57F79C5FA}"/>
            </c:ext>
          </c:extLst>
        </c:ser>
        <c:ser>
          <c:idx val="2"/>
          <c:order val="2"/>
          <c:tx>
            <c:strRef>
              <c:f>Sheet1!$C$15</c:f>
              <c:strCache>
                <c:ptCount val="1"/>
                <c:pt idx="0">
                  <c:v>total_tokens - gsm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Sheet1!$C$16:$C$23</c:f>
              <c:numCache>
                <c:formatCode>General</c:formatCode>
                <c:ptCount val="8"/>
                <c:pt idx="0">
                  <c:v>223</c:v>
                </c:pt>
                <c:pt idx="1">
                  <c:v>488</c:v>
                </c:pt>
                <c:pt idx="2">
                  <c:v>835</c:v>
                </c:pt>
                <c:pt idx="3">
                  <c:v>1401</c:v>
                </c:pt>
                <c:pt idx="4">
                  <c:v>483</c:v>
                </c:pt>
                <c:pt idx="5">
                  <c:v>978</c:v>
                </c:pt>
                <c:pt idx="6">
                  <c:v>2206</c:v>
                </c:pt>
                <c:pt idx="7">
                  <c:v>3723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21-46FC-BABC-6EB57F79C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173103"/>
        <c:axId val="185717118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Sheet1!$A$15</c15:sqref>
                        </c15:formulaRef>
                      </c:ext>
                    </c:extLst>
                    <c:strCache>
                      <c:ptCount val="1"/>
                      <c:pt idx="0">
                        <c:v>agents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Sheet1!$A$16:$A$23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C21-46FC-BABC-6EB57F79C5FA}"/>
                  </c:ext>
                </c:extLst>
              </c15:ser>
            </c15:filteredLineSeries>
          </c:ext>
        </c:extLst>
      </c:lineChart>
      <c:catAx>
        <c:axId val="1857173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Iterations</a:t>
                </a:r>
                <a:r>
                  <a:rPr lang="da-DK" baseline="0"/>
                  <a:t> (combinations)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57171183"/>
        <c:crosses val="autoZero"/>
        <c:auto val="1"/>
        <c:lblAlgn val="ctr"/>
        <c:lblOffset val="100"/>
        <c:noMultiLvlLbl val="0"/>
      </c:catAx>
      <c:valAx>
        <c:axId val="185717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Total tokens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5717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541020</xdr:colOff>
      <xdr:row>26</xdr:row>
      <xdr:rowOff>87630</xdr:rowOff>
    </xdr:from>
    <xdr:to>
      <xdr:col>12</xdr:col>
      <xdr:colOff>220980</xdr:colOff>
      <xdr:row>41</xdr:row>
      <xdr:rowOff>87630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1998BE28-B1D1-71DE-E00B-E7CE78E64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891540</xdr:colOff>
      <xdr:row>26</xdr:row>
      <xdr:rowOff>87630</xdr:rowOff>
    </xdr:from>
    <xdr:to>
      <xdr:col>7</xdr:col>
      <xdr:colOff>327660</xdr:colOff>
      <xdr:row>41</xdr:row>
      <xdr:rowOff>87630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94BB0A70-69A1-C840-F786-7D79C239E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A16" workbookViewId="0">
      <selection activeCell="N31" sqref="N31"/>
    </sheetView>
  </sheetViews>
  <sheetFormatPr defaultRowHeight="14.4" x14ac:dyDescent="0.3"/>
  <cols>
    <col min="2" max="2" width="17.44140625" customWidth="1"/>
    <col min="3" max="3" width="16.44140625" customWidth="1"/>
    <col min="4" max="4" width="14.5546875" customWidth="1"/>
    <col min="6" max="6" width="17.88671875" customWidth="1"/>
    <col min="7" max="7" width="17.109375" customWidth="1"/>
    <col min="8" max="8" width="15.109375" customWidth="1"/>
    <col min="9" max="9" width="17.44140625" customWidth="1"/>
    <col min="10" max="10" width="12.33203125" customWidth="1"/>
    <col min="11" max="11" width="12.44140625" customWidth="1"/>
    <col min="12" max="12" width="14" customWidth="1"/>
    <col min="13" max="13" width="12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</v>
      </c>
      <c r="C2">
        <v>1</v>
      </c>
      <c r="D2" t="b">
        <v>0</v>
      </c>
      <c r="E2">
        <v>1</v>
      </c>
      <c r="F2">
        <v>0</v>
      </c>
      <c r="G2" t="s">
        <v>15</v>
      </c>
      <c r="H2">
        <v>68</v>
      </c>
      <c r="I2">
        <v>204</v>
      </c>
      <c r="J2">
        <v>272</v>
      </c>
      <c r="K2">
        <v>7.4800000000000004E-6</v>
      </c>
      <c r="L2">
        <v>6.936E-5</v>
      </c>
      <c r="M2">
        <v>7.6840000000000003E-5</v>
      </c>
      <c r="N2">
        <v>1</v>
      </c>
      <c r="O2">
        <v>1.39</v>
      </c>
    </row>
    <row r="3" spans="1:15" x14ac:dyDescent="0.3">
      <c r="A3">
        <v>1</v>
      </c>
      <c r="B3">
        <v>1</v>
      </c>
      <c r="C3">
        <v>2</v>
      </c>
      <c r="D3" t="b">
        <v>0</v>
      </c>
      <c r="E3">
        <v>1</v>
      </c>
      <c r="F3">
        <v>0</v>
      </c>
      <c r="G3" t="s">
        <v>15</v>
      </c>
      <c r="H3">
        <v>136</v>
      </c>
      <c r="I3">
        <v>394</v>
      </c>
      <c r="J3">
        <v>530</v>
      </c>
      <c r="K3">
        <v>1.4960000000000001E-5</v>
      </c>
      <c r="L3">
        <v>1.3396E-4</v>
      </c>
      <c r="M3">
        <v>1.4892E-4</v>
      </c>
      <c r="N3">
        <v>2</v>
      </c>
      <c r="O3">
        <v>3.24</v>
      </c>
    </row>
    <row r="4" spans="1:15" x14ac:dyDescent="0.3">
      <c r="A4">
        <v>1</v>
      </c>
      <c r="B4">
        <v>2</v>
      </c>
      <c r="C4">
        <v>1</v>
      </c>
      <c r="D4" t="b">
        <v>0</v>
      </c>
      <c r="E4">
        <v>1</v>
      </c>
      <c r="F4">
        <v>0</v>
      </c>
      <c r="G4" t="s">
        <v>15</v>
      </c>
      <c r="H4">
        <v>390</v>
      </c>
      <c r="I4">
        <v>434</v>
      </c>
      <c r="J4">
        <v>824</v>
      </c>
      <c r="K4">
        <v>4.2900000000000013E-5</v>
      </c>
      <c r="L4">
        <v>1.4756E-4</v>
      </c>
      <c r="M4">
        <v>1.9045999999999999E-4</v>
      </c>
      <c r="N4">
        <v>2</v>
      </c>
      <c r="O4">
        <v>1.61</v>
      </c>
    </row>
    <row r="5" spans="1:15" x14ac:dyDescent="0.3">
      <c r="A5">
        <v>1</v>
      </c>
      <c r="B5">
        <v>2</v>
      </c>
      <c r="C5">
        <v>2</v>
      </c>
      <c r="D5" t="b">
        <v>0</v>
      </c>
      <c r="E5">
        <v>1</v>
      </c>
      <c r="F5">
        <v>0</v>
      </c>
      <c r="G5" t="s">
        <v>15</v>
      </c>
      <c r="H5">
        <v>813</v>
      </c>
      <c r="I5">
        <v>919</v>
      </c>
      <c r="J5">
        <v>1732</v>
      </c>
      <c r="K5">
        <v>8.9430000000000016E-5</v>
      </c>
      <c r="L5">
        <v>3.1245999999999997E-4</v>
      </c>
      <c r="M5">
        <v>4.0189000000000002E-4</v>
      </c>
      <c r="N5">
        <v>4</v>
      </c>
      <c r="O5">
        <v>3.21</v>
      </c>
    </row>
    <row r="6" spans="1:15" x14ac:dyDescent="0.3">
      <c r="A6">
        <v>2</v>
      </c>
      <c r="B6">
        <v>1</v>
      </c>
      <c r="C6">
        <v>1</v>
      </c>
      <c r="D6" t="b">
        <v>0</v>
      </c>
      <c r="E6">
        <v>1</v>
      </c>
      <c r="F6">
        <v>0</v>
      </c>
      <c r="G6" t="s">
        <v>15</v>
      </c>
      <c r="H6">
        <v>136</v>
      </c>
      <c r="I6">
        <v>363</v>
      </c>
      <c r="J6">
        <v>499</v>
      </c>
      <c r="K6">
        <v>1.4960000000000001E-5</v>
      </c>
      <c r="L6">
        <v>1.2342000000000001E-4</v>
      </c>
      <c r="M6">
        <v>1.3838000000000001E-4</v>
      </c>
      <c r="N6">
        <v>2</v>
      </c>
      <c r="O6">
        <v>1.45</v>
      </c>
    </row>
    <row r="7" spans="1:15" x14ac:dyDescent="0.3">
      <c r="A7">
        <v>2</v>
      </c>
      <c r="B7">
        <v>1</v>
      </c>
      <c r="C7">
        <v>2</v>
      </c>
      <c r="D7" t="b">
        <v>0</v>
      </c>
      <c r="E7">
        <v>1</v>
      </c>
      <c r="F7">
        <v>0</v>
      </c>
      <c r="G7" t="s">
        <v>15</v>
      </c>
      <c r="H7">
        <v>272</v>
      </c>
      <c r="I7">
        <v>723</v>
      </c>
      <c r="J7">
        <v>995</v>
      </c>
      <c r="K7">
        <v>2.9920000000000002E-5</v>
      </c>
      <c r="L7">
        <v>2.4582E-4</v>
      </c>
      <c r="M7">
        <v>2.7574000000000001E-4</v>
      </c>
      <c r="N7">
        <v>4</v>
      </c>
      <c r="O7">
        <v>2.25</v>
      </c>
    </row>
    <row r="8" spans="1:15" x14ac:dyDescent="0.3">
      <c r="A8">
        <v>2</v>
      </c>
      <c r="B8">
        <v>2</v>
      </c>
      <c r="C8">
        <v>1</v>
      </c>
      <c r="D8" t="b">
        <v>0</v>
      </c>
      <c r="E8">
        <v>1</v>
      </c>
      <c r="F8">
        <v>0</v>
      </c>
      <c r="G8" t="s">
        <v>15</v>
      </c>
      <c r="H8">
        <v>1220</v>
      </c>
      <c r="I8">
        <v>753</v>
      </c>
      <c r="J8">
        <v>1973</v>
      </c>
      <c r="K8">
        <v>1.3420000000000001E-4</v>
      </c>
      <c r="L8">
        <v>2.5601999999999998E-4</v>
      </c>
      <c r="M8">
        <v>3.9021999999999999E-4</v>
      </c>
      <c r="N8">
        <v>4</v>
      </c>
      <c r="O8">
        <v>1.93</v>
      </c>
    </row>
    <row r="9" spans="1:15" x14ac:dyDescent="0.3">
      <c r="A9">
        <v>2</v>
      </c>
      <c r="B9">
        <v>2</v>
      </c>
      <c r="C9">
        <v>2</v>
      </c>
      <c r="D9" t="b">
        <v>0</v>
      </c>
      <c r="E9">
        <v>1</v>
      </c>
      <c r="F9">
        <v>0</v>
      </c>
      <c r="G9" t="s">
        <v>15</v>
      </c>
      <c r="H9">
        <v>2520</v>
      </c>
      <c r="I9">
        <v>1580</v>
      </c>
      <c r="J9">
        <v>4100</v>
      </c>
      <c r="K9">
        <v>2.7720000000000002E-4</v>
      </c>
      <c r="L9">
        <v>5.3720000000000005E-4</v>
      </c>
      <c r="M9">
        <v>8.1440000000000006E-4</v>
      </c>
      <c r="N9">
        <v>8</v>
      </c>
      <c r="O9">
        <v>3.71</v>
      </c>
    </row>
    <row r="11" spans="1:15" x14ac:dyDescent="0.3">
      <c r="G11" t="s">
        <v>16</v>
      </c>
      <c r="H11">
        <f>SUM(H2:H9)</f>
        <v>5555</v>
      </c>
      <c r="I11">
        <f t="shared" ref="I11:O11" si="0">SUM(I2:I9)</f>
        <v>5370</v>
      </c>
      <c r="J11">
        <f t="shared" si="0"/>
        <v>10925</v>
      </c>
      <c r="K11">
        <f t="shared" si="0"/>
        <v>6.1105000000000013E-4</v>
      </c>
      <c r="L11">
        <f t="shared" si="0"/>
        <v>1.8258E-3</v>
      </c>
      <c r="M11">
        <f t="shared" si="0"/>
        <v>2.43685E-3</v>
      </c>
      <c r="N11">
        <f t="shared" si="0"/>
        <v>27</v>
      </c>
      <c r="O11">
        <f t="shared" si="0"/>
        <v>18.79</v>
      </c>
    </row>
    <row r="15" spans="1:15" x14ac:dyDescent="0.3">
      <c r="A15" t="s">
        <v>0</v>
      </c>
      <c r="B15" t="s">
        <v>19</v>
      </c>
      <c r="C15" t="s">
        <v>20</v>
      </c>
      <c r="E15" t="s">
        <v>0</v>
      </c>
      <c r="F15" t="s">
        <v>17</v>
      </c>
      <c r="G15" t="s">
        <v>18</v>
      </c>
    </row>
    <row r="16" spans="1:15" x14ac:dyDescent="0.3">
      <c r="A16">
        <v>1</v>
      </c>
      <c r="B16">
        <v>272</v>
      </c>
      <c r="C16">
        <v>223</v>
      </c>
      <c r="E16">
        <v>1</v>
      </c>
      <c r="F16">
        <v>1.39</v>
      </c>
      <c r="G16">
        <v>1.02</v>
      </c>
    </row>
    <row r="17" spans="1:15" x14ac:dyDescent="0.3">
      <c r="A17">
        <v>1</v>
      </c>
      <c r="B17">
        <v>530</v>
      </c>
      <c r="C17">
        <v>488</v>
      </c>
      <c r="E17">
        <v>1</v>
      </c>
      <c r="F17">
        <v>3.24</v>
      </c>
      <c r="G17">
        <v>2.38</v>
      </c>
      <c r="J17" t="s">
        <v>9</v>
      </c>
      <c r="O17" t="s">
        <v>14</v>
      </c>
    </row>
    <row r="18" spans="1:15" x14ac:dyDescent="0.3">
      <c r="A18">
        <v>1</v>
      </c>
      <c r="B18">
        <v>824</v>
      </c>
      <c r="C18">
        <v>835</v>
      </c>
      <c r="E18">
        <v>1</v>
      </c>
      <c r="F18">
        <v>1.61</v>
      </c>
      <c r="G18">
        <v>1.69</v>
      </c>
      <c r="J18">
        <v>223</v>
      </c>
      <c r="O18">
        <v>1.02</v>
      </c>
    </row>
    <row r="19" spans="1:15" x14ac:dyDescent="0.3">
      <c r="A19">
        <v>1</v>
      </c>
      <c r="B19">
        <v>1732</v>
      </c>
      <c r="C19">
        <v>1401</v>
      </c>
      <c r="E19">
        <v>1</v>
      </c>
      <c r="F19">
        <v>3.21</v>
      </c>
      <c r="G19">
        <v>3.08</v>
      </c>
      <c r="J19">
        <v>488</v>
      </c>
      <c r="O19">
        <v>2.38</v>
      </c>
    </row>
    <row r="20" spans="1:15" x14ac:dyDescent="0.3">
      <c r="A20">
        <v>2</v>
      </c>
      <c r="B20">
        <v>499</v>
      </c>
      <c r="C20">
        <v>483</v>
      </c>
      <c r="E20">
        <v>2</v>
      </c>
      <c r="F20">
        <v>1.45</v>
      </c>
      <c r="G20">
        <v>0.8</v>
      </c>
      <c r="J20">
        <v>835</v>
      </c>
      <c r="O20">
        <v>1.69</v>
      </c>
    </row>
    <row r="21" spans="1:15" x14ac:dyDescent="0.3">
      <c r="A21">
        <v>2</v>
      </c>
      <c r="B21">
        <v>995</v>
      </c>
      <c r="C21">
        <v>978</v>
      </c>
      <c r="E21">
        <v>2</v>
      </c>
      <c r="F21">
        <v>2.25</v>
      </c>
      <c r="G21">
        <v>1.46</v>
      </c>
      <c r="J21">
        <v>1401</v>
      </c>
      <c r="O21">
        <v>3.08</v>
      </c>
    </row>
    <row r="22" spans="1:15" x14ac:dyDescent="0.3">
      <c r="A22">
        <v>2</v>
      </c>
      <c r="B22">
        <v>1973</v>
      </c>
      <c r="C22">
        <v>2206</v>
      </c>
      <c r="E22">
        <v>2</v>
      </c>
      <c r="F22">
        <v>1.93</v>
      </c>
      <c r="G22">
        <v>1.74</v>
      </c>
      <c r="J22">
        <v>483</v>
      </c>
      <c r="O22">
        <v>0.8</v>
      </c>
    </row>
    <row r="23" spans="1:15" x14ac:dyDescent="0.3">
      <c r="A23">
        <v>2</v>
      </c>
      <c r="B23">
        <v>4100</v>
      </c>
      <c r="C23">
        <v>3723</v>
      </c>
      <c r="E23">
        <v>2</v>
      </c>
      <c r="F23">
        <v>3.71</v>
      </c>
      <c r="G23">
        <v>4</v>
      </c>
      <c r="J23">
        <v>978</v>
      </c>
      <c r="O23">
        <v>1.46</v>
      </c>
    </row>
    <row r="24" spans="1:15" x14ac:dyDescent="0.3">
      <c r="J24">
        <v>2206</v>
      </c>
      <c r="O24">
        <v>1.74</v>
      </c>
    </row>
    <row r="25" spans="1:15" x14ac:dyDescent="0.3">
      <c r="J25">
        <v>3723</v>
      </c>
      <c r="O25">
        <v>4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2026-03-31T15:12:57Z</dcterms:created>
  <dcterms:modified xsi:type="dcterms:W3CDTF">2026-03-31T15:29:45Z</dcterms:modified>
</cp:coreProperties>
</file>