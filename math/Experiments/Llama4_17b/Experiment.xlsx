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smu\CacheSaver Project\llm_multiagent_debate_cachesaver\math\Experiments\Llama4_17b\"/>
    </mc:Choice>
  </mc:AlternateContent>
  <xr:revisionPtr revIDLastSave="0" documentId="13_ncr:1_{DAC7E200-262F-4618-AEF0-F8378BE26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I11" i="1"/>
  <c r="J11" i="1"/>
  <c r="K11" i="1"/>
  <c r="L11" i="1"/>
  <c r="M11" i="1"/>
  <c r="N11" i="1"/>
  <c r="O11" i="1"/>
  <c r="H11" i="1"/>
</calcChain>
</file>

<file path=xl/sharedStrings.xml><?xml version="1.0" encoding="utf-8"?>
<sst xmlns="http://schemas.openxmlformats.org/spreadsheetml/2006/main" count="25" uniqueCount="18">
  <si>
    <t>agents</t>
  </si>
  <si>
    <t>rounds</t>
  </si>
  <si>
    <t>evaluation_round</t>
  </si>
  <si>
    <t>use_cachesaver</t>
  </si>
  <si>
    <t>accuracy</t>
  </si>
  <si>
    <t>standard error</t>
  </si>
  <si>
    <t>confidence interval</t>
  </si>
  <si>
    <t>prompt_tokens</t>
  </si>
  <si>
    <t>completion_tokens</t>
  </si>
  <si>
    <t>total_tokens</t>
  </si>
  <si>
    <t>input_cost ($)</t>
  </si>
  <si>
    <t>output_cost ($)</t>
  </si>
  <si>
    <t>total_cost ($)</t>
  </si>
  <si>
    <t>api_calls</t>
  </si>
  <si>
    <t>runtime (s)</t>
  </si>
  <si>
    <t>(1.0, 1.0)</t>
  </si>
  <si>
    <t>Total:</t>
  </si>
  <si>
    <t>Api calls per 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</si>
</sst>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O17" sqref="O17"/>
    </sheetView>
  </sheetViews>
  <sheetFormatPr defaultRowHeight="14.4" x14ac:dyDescent="0.3"/>
  <cols>
    <col min="3" max="3" width="18.5546875" customWidth="1"/>
    <col min="4" max="4" width="14.88671875" customWidth="1"/>
    <col min="6" max="6" width="14.109375" customWidth="1"/>
    <col min="7" max="7" width="18.109375" customWidth="1"/>
    <col min="8" max="8" width="14.21875" customWidth="1"/>
    <col min="9" max="9" width="18.33203125" customWidth="1"/>
    <col min="10" max="10" width="13.5546875" customWidth="1"/>
    <col min="11" max="11" width="16.5546875" customWidth="1"/>
    <col min="12" max="12" width="16" customWidth="1"/>
    <col min="13" max="13" width="14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0</v>
      </c>
      <c r="G2" t="s">
        <v>15</v>
      </c>
      <c r="H2">
        <v>68</v>
      </c>
      <c r="I2">
        <v>194</v>
      </c>
      <c r="J2">
        <v>262</v>
      </c>
      <c r="K2">
        <v>7.4800000000000004E-6</v>
      </c>
      <c r="L2">
        <v>6.5960000000000012E-5</v>
      </c>
      <c r="M2">
        <v>7.3440000000000015E-5</v>
      </c>
      <c r="N2">
        <v>1</v>
      </c>
      <c r="O2">
        <v>1.26</v>
      </c>
    </row>
    <row r="3" spans="1:15" x14ac:dyDescent="0.3">
      <c r="A3">
        <v>1</v>
      </c>
      <c r="B3">
        <v>1</v>
      </c>
      <c r="C3">
        <v>2</v>
      </c>
      <c r="D3" t="b">
        <v>0</v>
      </c>
      <c r="E3">
        <v>1</v>
      </c>
      <c r="F3">
        <v>0</v>
      </c>
      <c r="G3" t="s">
        <v>15</v>
      </c>
      <c r="H3">
        <v>136</v>
      </c>
      <c r="I3">
        <v>402</v>
      </c>
      <c r="J3">
        <v>538</v>
      </c>
      <c r="K3">
        <v>1.4960000000000001E-5</v>
      </c>
      <c r="L3">
        <v>1.3668E-4</v>
      </c>
      <c r="M3">
        <v>1.5164000000000001E-4</v>
      </c>
      <c r="N3">
        <v>2</v>
      </c>
      <c r="O3">
        <v>2.75</v>
      </c>
    </row>
    <row r="4" spans="1:15" x14ac:dyDescent="0.3">
      <c r="A4">
        <v>1</v>
      </c>
      <c r="B4">
        <v>2</v>
      </c>
      <c r="C4">
        <v>1</v>
      </c>
      <c r="D4" t="b">
        <v>0</v>
      </c>
      <c r="E4">
        <v>1</v>
      </c>
      <c r="F4">
        <v>0</v>
      </c>
      <c r="G4" t="s">
        <v>15</v>
      </c>
      <c r="H4">
        <v>407</v>
      </c>
      <c r="I4">
        <v>523</v>
      </c>
      <c r="J4">
        <v>930</v>
      </c>
      <c r="K4">
        <v>4.477E-5</v>
      </c>
      <c r="L4">
        <v>1.7782E-4</v>
      </c>
      <c r="M4">
        <v>2.2258999999999999E-4</v>
      </c>
      <c r="N4">
        <v>2</v>
      </c>
      <c r="O4">
        <v>1.73</v>
      </c>
    </row>
    <row r="5" spans="1:15" x14ac:dyDescent="0.3">
      <c r="A5">
        <v>1</v>
      </c>
      <c r="B5">
        <v>2</v>
      </c>
      <c r="C5">
        <v>2</v>
      </c>
      <c r="D5" t="b">
        <v>0</v>
      </c>
      <c r="E5">
        <v>1</v>
      </c>
      <c r="F5">
        <v>0</v>
      </c>
      <c r="G5" t="s">
        <v>15</v>
      </c>
      <c r="H5">
        <v>741</v>
      </c>
      <c r="I5">
        <v>828</v>
      </c>
      <c r="J5">
        <v>1569</v>
      </c>
      <c r="K5">
        <v>8.1509999999999997E-5</v>
      </c>
      <c r="L5">
        <v>2.8152E-4</v>
      </c>
      <c r="M5">
        <v>3.6303000000000003E-4</v>
      </c>
      <c r="N5">
        <v>4</v>
      </c>
      <c r="O5">
        <v>2.77</v>
      </c>
    </row>
    <row r="6" spans="1:15" x14ac:dyDescent="0.3">
      <c r="A6">
        <v>2</v>
      </c>
      <c r="B6">
        <v>1</v>
      </c>
      <c r="C6">
        <v>1</v>
      </c>
      <c r="D6" t="b">
        <v>0</v>
      </c>
      <c r="E6">
        <v>1</v>
      </c>
      <c r="F6">
        <v>0</v>
      </c>
      <c r="G6" t="s">
        <v>15</v>
      </c>
      <c r="H6">
        <v>136</v>
      </c>
      <c r="I6">
        <v>430</v>
      </c>
      <c r="J6">
        <v>566</v>
      </c>
      <c r="K6">
        <v>1.4960000000000001E-5</v>
      </c>
      <c r="L6">
        <v>1.462E-4</v>
      </c>
      <c r="M6">
        <v>1.6116000000000001E-4</v>
      </c>
      <c r="N6">
        <v>2</v>
      </c>
      <c r="O6">
        <v>1.02</v>
      </c>
    </row>
    <row r="7" spans="1:15" x14ac:dyDescent="0.3">
      <c r="A7">
        <v>2</v>
      </c>
      <c r="B7">
        <v>1</v>
      </c>
      <c r="C7">
        <v>2</v>
      </c>
      <c r="D7" t="b">
        <v>0</v>
      </c>
      <c r="E7">
        <v>1</v>
      </c>
      <c r="F7">
        <v>0</v>
      </c>
      <c r="G7" t="s">
        <v>15</v>
      </c>
      <c r="H7">
        <v>272</v>
      </c>
      <c r="I7">
        <v>798</v>
      </c>
      <c r="J7">
        <v>1070</v>
      </c>
      <c r="K7">
        <v>2.9920000000000002E-5</v>
      </c>
      <c r="L7">
        <v>2.7132000000000002E-4</v>
      </c>
      <c r="M7">
        <v>3.0123999999999998E-4</v>
      </c>
      <c r="N7">
        <v>4</v>
      </c>
      <c r="O7">
        <v>1.64</v>
      </c>
    </row>
    <row r="8" spans="1:15" x14ac:dyDescent="0.3">
      <c r="A8">
        <v>2</v>
      </c>
      <c r="B8">
        <v>2</v>
      </c>
      <c r="C8">
        <v>1</v>
      </c>
      <c r="D8" t="b">
        <v>0</v>
      </c>
      <c r="E8">
        <v>1</v>
      </c>
      <c r="F8">
        <v>0</v>
      </c>
      <c r="G8" t="s">
        <v>15</v>
      </c>
      <c r="H8">
        <v>1230</v>
      </c>
      <c r="I8">
        <v>725</v>
      </c>
      <c r="J8">
        <v>1955</v>
      </c>
      <c r="K8">
        <v>1.3530000000000001E-4</v>
      </c>
      <c r="L8">
        <v>2.4649999999999997E-4</v>
      </c>
      <c r="M8">
        <v>3.8180000000000001E-4</v>
      </c>
      <c r="N8">
        <v>4</v>
      </c>
      <c r="O8">
        <v>1.65</v>
      </c>
    </row>
    <row r="9" spans="1:15" x14ac:dyDescent="0.3">
      <c r="A9">
        <v>2</v>
      </c>
      <c r="B9">
        <v>2</v>
      </c>
      <c r="C9">
        <v>2</v>
      </c>
      <c r="D9" t="b">
        <v>0</v>
      </c>
      <c r="E9">
        <v>1</v>
      </c>
      <c r="F9">
        <v>0</v>
      </c>
      <c r="G9" t="s">
        <v>15</v>
      </c>
      <c r="H9">
        <v>2424</v>
      </c>
      <c r="I9">
        <v>1556</v>
      </c>
      <c r="J9">
        <v>3980</v>
      </c>
      <c r="K9">
        <v>2.6664000000000001E-4</v>
      </c>
      <c r="L9">
        <v>5.2903999999999994E-4</v>
      </c>
      <c r="M9">
        <v>7.9568000000000011E-4</v>
      </c>
      <c r="N9">
        <v>8</v>
      </c>
      <c r="O9">
        <v>2.65</v>
      </c>
    </row>
    <row r="11" spans="1:15" x14ac:dyDescent="0.3">
      <c r="G11" t="s">
        <v>16</v>
      </c>
      <c r="H11">
        <f>SUM(H2:H9)</f>
        <v>5414</v>
      </c>
      <c r="I11">
        <f t="shared" ref="I11:O11" si="0">SUM(I2:I9)</f>
        <v>5456</v>
      </c>
      <c r="J11">
        <f t="shared" si="0"/>
        <v>10870</v>
      </c>
      <c r="K11">
        <f t="shared" si="0"/>
        <v>5.9554000000000009E-4</v>
      </c>
      <c r="L11">
        <f t="shared" si="0"/>
        <v>1.8550399999999999E-3</v>
      </c>
      <c r="M11">
        <f t="shared" si="0"/>
        <v>2.4505800000000004E-3</v>
      </c>
      <c r="N11">
        <f t="shared" si="0"/>
        <v>27</v>
      </c>
      <c r="O11">
        <f t="shared" si="0"/>
        <v>15.47</v>
      </c>
    </row>
    <row r="13" spans="1:15" x14ac:dyDescent="0.3">
      <c r="M13" t="s">
        <v>17</v>
      </c>
      <c r="N13">
        <f>N11/O11*60</f>
        <v>104.71881060116354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2026-03-30T16:35:39Z</dcterms:created>
  <dcterms:modified xsi:type="dcterms:W3CDTF">2026-03-30T16:39:15Z</dcterms:modified>
</cp:coreProperties>
</file>